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pends" sheetId="2" state="visible" r:id="rId2"/>
    <sheet name="Insurance Coverage" sheetId="3" state="visible" r:id="rId3"/>
    <sheet name="Lounge Access" sheetId="4" state="visible" r:id="rId4"/>
    <sheet name="Card Details" sheetId="5" state="visible" r:id="rId5"/>
    <sheet name="Spend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1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i val="1"/>
      <color rgb="00666666"/>
      <sz val="11"/>
    </font>
    <font>
      <name val="Calibri"/>
      <b val="1"/>
      <color rgb="001A1A2E"/>
      <sz val="18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color rgb="001A1A2E"/>
      <sz val="11"/>
    </font>
    <font>
      <name val="Calibri"/>
      <b val="1"/>
      <color rgb="00F39C12"/>
    </font>
    <font>
      <name val="Calibri"/>
      <b val="1"/>
      <color rgb="0027AE60"/>
    </font>
    <font>
      <name val="Calibri"/>
      <b val="1"/>
      <color rgb="00E74C3C"/>
    </font>
    <font>
      <name val="Calibri"/>
      <color rgb="00999999"/>
      <sz val="11"/>
    </font>
    <font>
      <name val="Calibri"/>
      <b val="1"/>
      <sz val="11"/>
    </font>
    <font>
      <name val="Calibri"/>
      <b val="1"/>
      <color rgb="001A1A2E"/>
      <sz val="12"/>
    </font>
    <font>
      <name val="Calibri"/>
      <b val="1"/>
      <color rgb="0027AE60"/>
      <sz val="13"/>
    </font>
    <font>
      <name val="Calibri"/>
      <color rgb="0027AE60"/>
      <sz val="11"/>
    </font>
    <font>
      <name val="Calibri"/>
      <b val="1"/>
      <color rgb="00FFFFFF"/>
      <sz val="14"/>
    </font>
    <font>
      <name val="Calibri"/>
      <b val="1"/>
      <color rgb="00666666"/>
      <sz val="10"/>
    </font>
    <font>
      <name val="Calibri"/>
      <b val="1"/>
      <color rgb="008E44AD"/>
      <sz val="11"/>
    </font>
    <font>
      <name val="Calibri"/>
      <color rgb="00555555"/>
      <sz val="10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EDE7F6"/>
        <bgColor rgb="00EDE7F6"/>
      </patternFill>
    </fill>
    <fill>
      <patternFill patternType="solid">
        <fgColor rgb="001A1A2E"/>
        <bgColor rgb="001A1A2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12" fillId="4" borderId="1" pivotButton="0" quotePrefix="0" xfId="0"/>
    <xf numFmtId="0" fontId="6" fillId="4" borderId="1" pivotButton="0" quotePrefix="0" xfId="0"/>
    <xf numFmtId="164" fontId="6" fillId="4" borderId="1" applyAlignment="1" pivotButton="0" quotePrefix="0" xfId="0">
      <alignment horizontal="center"/>
    </xf>
    <xf numFmtId="164" fontId="12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12" fillId="0" borderId="1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0" fontId="13" fillId="2" borderId="1" pivotButton="0" quotePrefix="0" xfId="0"/>
    <xf numFmtId="164" fontId="12" fillId="2" borderId="1" applyAlignment="1" pivotButton="0" quotePrefix="0" xfId="0">
      <alignment horizontal="center"/>
    </xf>
    <xf numFmtId="164" fontId="13" fillId="2" borderId="1" applyAlignment="1" pivotButton="0" quotePrefix="0" xfId="0">
      <alignment horizontal="center"/>
    </xf>
    <xf numFmtId="0" fontId="14" fillId="0" borderId="0" pivotButton="0" quotePrefix="0" xfId="0"/>
    <xf numFmtId="164" fontId="7" fillId="4" borderId="1" pivotButton="0" quotePrefix="0" xfId="0"/>
    <xf numFmtId="164" fontId="15" fillId="5" borderId="1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164" fontId="7" fillId="0" borderId="1" pivotButton="0" quotePrefix="0" xfId="0"/>
    <xf numFmtId="0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7" fillId="6" borderId="1" pivotButton="0" quotePrefix="0" xfId="0"/>
    <xf numFmtId="164" fontId="12" fillId="0" borderId="1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wrapText="1"/>
    </xf>
    <xf numFmtId="164" fontId="0" fillId="0" borderId="1" pivotButton="0" quotePrefix="0" xfId="0"/>
    <xf numFmtId="164" fontId="20" fillId="8" borderId="1" pivotButton="0" quotePrefix="0" xfId="0"/>
    <xf numFmtId="164" fontId="0" fillId="6" borderId="1" pivotButton="0" quotePrefix="0" xfId="0"/>
    <xf numFmtId="9" fontId="0" fillId="6" borderId="1" pivotButton="0" quotePrefix="0" xfId="0"/>
    <xf numFmtId="0" fontId="12" fillId="6" borderId="1" pivotButton="0" quotePrefix="0" xfId="0"/>
  </cellXfs>
  <cellStyles count="1">
    <cellStyle name="Normal" xfId="0" builtinId="0" hidden="0"/>
  </cellStyles>
  <dxfs count="2">
    <dxf>
      <font>
        <name val="Calibri"/>
        <b val="1"/>
        <color rgb="0027AE60"/>
      </font>
      <fill>
        <patternFill patternType="solid">
          <fgColor rgb="00E8F5E9"/>
          <bgColor rgb="00E8F5E9"/>
        </patternFill>
      </fill>
    </dxf>
    <dxf>
      <font>
        <name val="Calibri"/>
        <b val="1"/>
        <color rgb="00F39C12"/>
      </font>
      <fill>
        <patternFill patternType="solid">
          <fgColor rgb="00FFF3E0"/>
          <bgColor rgb="00FFF3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L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20" customWidth="1" min="4" max="4"/>
    <col width="20" customWidth="1" min="5" max="5"/>
    <col width="17" customWidth="1" min="6" max="6"/>
    <col width="12" customWidth="1" min="7" max="7"/>
    <col width="13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 ht="35" customHeight="1">
      <c r="A1" s="1" t="inlineStr">
        <is>
          <t>💳 Credit Card Dashboard</t>
        </is>
      </c>
    </row>
    <row r="2">
      <c r="A2" s="2" t="inlineStr">
        <is>
          <t>Track your cards, fees &amp; spend thresholds</t>
        </is>
      </c>
    </row>
    <row r="3"/>
    <row r="4">
      <c r="A4" s="3" t="n">
        <v>4</v>
      </c>
      <c r="B4" s="4" t="n"/>
      <c r="C4" s="4" t="n"/>
      <c r="D4" s="4" t="n"/>
      <c r="E4" s="5" t="n">
        <v>19249</v>
      </c>
      <c r="F4" s="4" t="n"/>
      <c r="G4" s="4" t="n"/>
      <c r="H4" s="4" t="n"/>
      <c r="I4" s="3" t="inlineStr">
        <is>
          <t>1 / 4</t>
        </is>
      </c>
      <c r="J4" s="4" t="n"/>
      <c r="K4" s="4" t="n"/>
      <c r="L4" s="4" t="n"/>
    </row>
    <row r="5">
      <c r="A5" s="6" t="inlineStr">
        <is>
          <t>Total Cards</t>
        </is>
      </c>
      <c r="B5" s="4" t="n"/>
      <c r="C5" s="4" t="n"/>
      <c r="D5" s="4" t="n"/>
      <c r="E5" s="6" t="inlineStr">
        <is>
          <t>Total Annual Fees</t>
        </is>
      </c>
      <c r="F5" s="4" t="n"/>
      <c r="G5" s="4" t="n"/>
      <c r="H5" s="4" t="n"/>
      <c r="I5" s="6" t="inlineStr">
        <is>
          <t>Threshold Met</t>
        </is>
      </c>
      <c r="J5" s="4" t="n"/>
      <c r="K5" s="4" t="n"/>
      <c r="L5" s="4" t="n"/>
    </row>
    <row r="6"/>
    <row r="7" ht="25" customHeight="1">
      <c r="A7" s="7" t="inlineStr">
        <is>
          <t>Bank Name</t>
        </is>
      </c>
      <c r="B7" s="7" t="inlineStr">
        <is>
          <t>Card Name</t>
        </is>
      </c>
      <c r="C7" s="7" t="inlineStr">
        <is>
          <t>Annual Fee</t>
        </is>
      </c>
      <c r="D7" s="7" t="inlineStr">
        <is>
          <t>Anniversary Month</t>
        </is>
      </c>
      <c r="E7" s="7" t="inlineStr">
        <is>
          <t>Spend Threshold</t>
        </is>
      </c>
      <c r="F7" s="7" t="inlineStr">
        <is>
          <t>Spend Till Now</t>
        </is>
      </c>
      <c r="G7" s="7" t="inlineStr">
        <is>
          <t>Remaining</t>
        </is>
      </c>
      <c r="H7" s="7" t="inlineStr">
        <is>
          <t>Progress %</t>
        </is>
      </c>
      <c r="I7" s="7" t="inlineStr">
        <is>
          <t>Status</t>
        </is>
      </c>
      <c r="J7" s="7" t="inlineStr">
        <is>
          <t>Insurance</t>
        </is>
      </c>
      <c r="K7" s="7" t="inlineStr">
        <is>
          <t>Lounge Access</t>
        </is>
      </c>
      <c r="L7" s="7" t="inlineStr">
        <is>
          <t>Lounge Eligible</t>
        </is>
      </c>
    </row>
    <row r="8">
      <c r="A8" s="8" t="inlineStr">
        <is>
          <t>HDFC Bank</t>
        </is>
      </c>
      <c r="B8" s="8" t="inlineStr">
        <is>
          <t>Infinia</t>
        </is>
      </c>
      <c r="C8" s="9" t="n">
        <v>1250</v>
      </c>
      <c r="D8" s="8" t="inlineStr">
        <is>
          <t>August</t>
        </is>
      </c>
      <c r="E8" s="9" t="n">
        <v>1000000</v>
      </c>
      <c r="F8" s="9" t="n">
        <v>645000</v>
      </c>
      <c r="G8" s="9" t="n">
        <v>355000</v>
      </c>
      <c r="H8" s="10" t="n">
        <v>0.645</v>
      </c>
      <c r="I8" s="11" t="inlineStr">
        <is>
          <t>In Progress</t>
        </is>
      </c>
      <c r="J8" s="12" t="inlineStr">
        <is>
          <t>🛡️ Included</t>
        </is>
      </c>
      <c r="K8" s="8" t="inlineStr">
        <is>
          <t>Available</t>
        </is>
      </c>
      <c r="L8" s="13" t="inlineStr">
        <is>
          <t>✗ Not Eligible</t>
        </is>
      </c>
    </row>
    <row r="9">
      <c r="A9" s="14" t="inlineStr">
        <is>
          <t>ICICI Bank</t>
        </is>
      </c>
      <c r="B9" s="14" t="inlineStr">
        <is>
          <t>Amazon Pay</t>
        </is>
      </c>
      <c r="C9" s="15" t="n">
        <v>500</v>
      </c>
      <c r="D9" s="14" t="inlineStr">
        <is>
          <t>March</t>
        </is>
      </c>
      <c r="E9" s="15" t="n">
        <v>200000</v>
      </c>
      <c r="F9" s="15" t="n">
        <v>187500</v>
      </c>
      <c r="G9" s="15" t="n">
        <v>12500</v>
      </c>
      <c r="H9" s="16" t="n">
        <v>0.9375</v>
      </c>
      <c r="I9" s="17" t="inlineStr">
        <is>
          <t>In Progress</t>
        </is>
      </c>
      <c r="J9" s="18" t="inlineStr">
        <is>
          <t>Not Available</t>
        </is>
      </c>
      <c r="K9" s="14" t="inlineStr">
        <is>
          <t>Not Available</t>
        </is>
      </c>
      <c r="L9" s="14" t="inlineStr">
        <is>
          <t>N/A</t>
        </is>
      </c>
    </row>
    <row r="10">
      <c r="A10" s="8" t="inlineStr">
        <is>
          <t>Axis Bank</t>
        </is>
      </c>
      <c r="B10" s="8" t="inlineStr">
        <is>
          <t>Magnus</t>
        </is>
      </c>
      <c r="C10" s="9" t="n">
        <v>12500</v>
      </c>
      <c r="D10" s="8" t="inlineStr">
        <is>
          <t>November</t>
        </is>
      </c>
      <c r="E10" s="9" t="n">
        <v>2500000</v>
      </c>
      <c r="F10" s="9" t="n">
        <v>1820000</v>
      </c>
      <c r="G10" s="9" t="n">
        <v>680000</v>
      </c>
      <c r="H10" s="10" t="n">
        <v>0.728</v>
      </c>
      <c r="I10" s="11" t="inlineStr">
        <is>
          <t>In Progress</t>
        </is>
      </c>
      <c r="J10" s="12" t="inlineStr">
        <is>
          <t>🛡️ Included</t>
        </is>
      </c>
      <c r="K10" s="8" t="inlineStr">
        <is>
          <t>Available</t>
        </is>
      </c>
      <c r="L10" s="13" t="inlineStr">
        <is>
          <t>✗ Not Eligible</t>
        </is>
      </c>
    </row>
    <row r="11">
      <c r="A11" s="19" t="inlineStr">
        <is>
          <t>SBI</t>
        </is>
      </c>
      <c r="B11" s="19" t="inlineStr">
        <is>
          <t>Elite</t>
        </is>
      </c>
      <c r="C11" s="20" t="n">
        <v>4999</v>
      </c>
      <c r="D11" s="19" t="inlineStr">
        <is>
          <t>June</t>
        </is>
      </c>
      <c r="E11" s="20" t="n">
        <v>1000000</v>
      </c>
      <c r="F11" s="20" t="n">
        <v>1050000</v>
      </c>
      <c r="G11" s="20" t="n">
        <v>0</v>
      </c>
      <c r="H11" s="21" t="n">
        <v>1</v>
      </c>
      <c r="I11" s="22" t="inlineStr">
        <is>
          <t>✓ Fee Waived</t>
        </is>
      </c>
      <c r="J11" s="22" t="inlineStr">
        <is>
          <t>🛡️ Included</t>
        </is>
      </c>
      <c r="K11" s="19" t="inlineStr">
        <is>
          <t>Available</t>
        </is>
      </c>
      <c r="L11" s="23" t="inlineStr">
        <is>
          <t>✗ Not Eligible</t>
        </is>
      </c>
    </row>
  </sheetData>
  <mergeCells count="8">
    <mergeCell ref="A5:D5"/>
    <mergeCell ref="A2:L2"/>
    <mergeCell ref="A4:D4"/>
    <mergeCell ref="E4:H4"/>
    <mergeCell ref="A1:L1"/>
    <mergeCell ref="I4:L4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J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6" customWidth="1" min="4" max="4"/>
    <col width="16" customWidth="1" min="5" max="5"/>
    <col width="15" customWidth="1" min="6" max="6"/>
    <col width="16" customWidth="1" min="7" max="7"/>
    <col width="14" customWidth="1" min="8" max="8"/>
    <col width="19" customWidth="1" min="9" max="9"/>
    <col width="20" customWidth="1" min="10" max="10"/>
  </cols>
  <sheetData>
    <row r="1" ht="35" customHeight="1">
      <c r="A1" s="24" t="inlineStr">
        <is>
          <t>📊 Monthly Spend History</t>
        </is>
      </c>
    </row>
    <row r="2"/>
    <row r="3">
      <c r="A3" s="7" t="inlineStr">
        <is>
          <t>Bank Name</t>
        </is>
      </c>
      <c r="B3" s="7" t="inlineStr">
        <is>
          <t>Card Name</t>
        </is>
      </c>
      <c r="C3" s="7" t="inlineStr">
        <is>
          <t>October 2025</t>
        </is>
      </c>
      <c r="D3" s="7" t="inlineStr">
        <is>
          <t>November 2025</t>
        </is>
      </c>
      <c r="E3" s="7" t="inlineStr">
        <is>
          <t>December 2025</t>
        </is>
      </c>
      <c r="F3" s="7" t="inlineStr">
        <is>
          <t>January 2026</t>
        </is>
      </c>
      <c r="G3" s="7" t="inlineStr">
        <is>
          <t>February 2026</t>
        </is>
      </c>
      <c r="H3" s="7" t="inlineStr">
        <is>
          <t>March 2026</t>
        </is>
      </c>
      <c r="I3" s="7" t="inlineStr">
        <is>
          <t>Total (6 Months)</t>
        </is>
      </c>
      <c r="J3" s="7" t="inlineStr">
        <is>
          <t>Monthly Avg</t>
        </is>
      </c>
    </row>
    <row r="4">
      <c r="A4" s="25" t="inlineStr">
        <is>
          <t>HDFC Bank</t>
        </is>
      </c>
      <c r="B4" s="26" t="inlineStr">
        <is>
          <t>Infinia</t>
        </is>
      </c>
      <c r="C4" s="27" t="n">
        <v>95000</v>
      </c>
      <c r="D4" s="27" t="n">
        <v>110000</v>
      </c>
      <c r="E4" s="27" t="n">
        <v>125000</v>
      </c>
      <c r="F4" s="27" t="n">
        <v>98000</v>
      </c>
      <c r="G4" s="27" t="n">
        <v>105000</v>
      </c>
      <c r="H4" s="27" t="n">
        <v>112000</v>
      </c>
      <c r="I4" s="28" t="n">
        <v>645000</v>
      </c>
      <c r="J4" s="29" t="n">
        <v>107500</v>
      </c>
    </row>
    <row r="5">
      <c r="A5" s="30" t="inlineStr">
        <is>
          <t>ICICI Bank</t>
        </is>
      </c>
      <c r="B5" s="31" t="inlineStr">
        <is>
          <t>Amazon Pay</t>
        </is>
      </c>
      <c r="C5" s="32" t="n">
        <v>28000</v>
      </c>
      <c r="D5" s="32" t="n">
        <v>32000</v>
      </c>
      <c r="E5" s="32" t="n">
        <v>35000</v>
      </c>
      <c r="F5" s="32" t="n">
        <v>30000</v>
      </c>
      <c r="G5" s="32" t="n">
        <v>31500</v>
      </c>
      <c r="H5" s="32" t="n">
        <v>31000</v>
      </c>
      <c r="I5" s="28" t="n">
        <v>187500</v>
      </c>
      <c r="J5" s="29" t="n">
        <v>31250</v>
      </c>
    </row>
    <row r="6">
      <c r="A6" s="25" t="inlineStr">
        <is>
          <t>Axis Bank</t>
        </is>
      </c>
      <c r="B6" s="26" t="inlineStr">
        <is>
          <t>Magnus</t>
        </is>
      </c>
      <c r="C6" s="27" t="n">
        <v>280000</v>
      </c>
      <c r="D6" s="27" t="n">
        <v>310000</v>
      </c>
      <c r="E6" s="27" t="n">
        <v>295000</v>
      </c>
      <c r="F6" s="27" t="n">
        <v>320000</v>
      </c>
      <c r="G6" s="27" t="n">
        <v>270000</v>
      </c>
      <c r="H6" s="27" t="n">
        <v>345000</v>
      </c>
      <c r="I6" s="28" t="n">
        <v>1820000</v>
      </c>
      <c r="J6" s="29" t="n">
        <v>303333.3333333333</v>
      </c>
    </row>
    <row r="7">
      <c r="A7" s="30" t="inlineStr">
        <is>
          <t>SBI</t>
        </is>
      </c>
      <c r="B7" s="31" t="inlineStr">
        <is>
          <t>Elite</t>
        </is>
      </c>
      <c r="C7" s="32" t="n">
        <v>160000</v>
      </c>
      <c r="D7" s="32" t="n">
        <v>175000</v>
      </c>
      <c r="E7" s="32" t="n">
        <v>190000</v>
      </c>
      <c r="F7" s="32" t="n">
        <v>170000</v>
      </c>
      <c r="G7" s="32" t="n">
        <v>180000</v>
      </c>
      <c r="H7" s="32" t="n">
        <v>175000</v>
      </c>
      <c r="I7" s="28" t="n">
        <v>1050000</v>
      </c>
      <c r="J7" s="29" t="n">
        <v>175000</v>
      </c>
    </row>
    <row r="8">
      <c r="A8" s="33" t="inlineStr">
        <is>
          <t>GRAND TOTAL</t>
        </is>
      </c>
      <c r="B8" s="4" t="n"/>
      <c r="C8" s="34" t="n">
        <v>563000</v>
      </c>
      <c r="D8" s="34" t="n">
        <v>627000</v>
      </c>
      <c r="E8" s="34" t="n">
        <v>645000</v>
      </c>
      <c r="F8" s="34" t="n">
        <v>618000</v>
      </c>
      <c r="G8" s="34" t="n">
        <v>586500</v>
      </c>
      <c r="H8" s="34" t="n">
        <v>663000</v>
      </c>
      <c r="I8" s="35" t="n">
        <v>3702500</v>
      </c>
      <c r="J8" s="34" t="n">
        <v>617083.3333333334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J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7" customWidth="1" min="4" max="4"/>
    <col width="24" customWidth="1" min="5" max="5"/>
    <col width="26" customWidth="1" min="6" max="6"/>
    <col width="24" customWidth="1" min="7" max="7"/>
    <col width="25" customWidth="1" min="8" max="8"/>
    <col width="21" customWidth="1" min="9" max="9"/>
    <col width="16" customWidth="1" min="10" max="10"/>
  </cols>
  <sheetData>
    <row r="1" ht="35" customHeight="1">
      <c r="A1" s="24" t="inlineStr">
        <is>
          <t>🛡️ Insurance Coverage</t>
        </is>
      </c>
    </row>
    <row r="2">
      <c r="A2" s="2" t="inlineStr">
        <is>
          <t>Cards with insurance benefits</t>
        </is>
      </c>
    </row>
    <row r="3">
      <c r="A3" s="36" t="inlineStr">
        <is>
          <t>Insured Cards: 3</t>
        </is>
      </c>
    </row>
    <row r="4"/>
    <row r="5">
      <c r="A5" s="7" t="inlineStr">
        <is>
          <t>Bank Name</t>
        </is>
      </c>
      <c r="B5" s="7" t="inlineStr">
        <is>
          <t>Card Name</t>
        </is>
      </c>
      <c r="C5" s="7" t="inlineStr">
        <is>
          <t>Annual Fee</t>
        </is>
      </c>
      <c r="D5" s="7" t="inlineStr">
        <is>
          <t>💀 Accidental Death Cover</t>
        </is>
      </c>
      <c r="E5" s="7" t="inlineStr">
        <is>
          <t>✈️ Air Accident Cover</t>
        </is>
      </c>
      <c r="F5" s="7" t="inlineStr">
        <is>
          <t>🔒 Fraud Liability Cover</t>
        </is>
      </c>
      <c r="G5" s="7" t="inlineStr">
        <is>
          <t>💳 Lost Card Liability</t>
        </is>
      </c>
      <c r="H5" s="7" t="inlineStr">
        <is>
          <t>🛍️ Purchase Protection</t>
        </is>
      </c>
      <c r="I5" s="7" t="inlineStr">
        <is>
          <t>🌍 Travel Insurance</t>
        </is>
      </c>
      <c r="J5" s="7" t="inlineStr">
        <is>
          <t>Covers Active</t>
        </is>
      </c>
    </row>
    <row r="6">
      <c r="A6" s="25" t="inlineStr">
        <is>
          <t>HDFC Bank</t>
        </is>
      </c>
      <c r="B6" s="26" t="inlineStr">
        <is>
          <t>Infinia</t>
        </is>
      </c>
      <c r="C6" s="37" t="n">
        <v>1250</v>
      </c>
      <c r="D6" s="38" t="n">
        <v>20000000</v>
      </c>
      <c r="E6" s="38" t="n">
        <v>50000000</v>
      </c>
      <c r="F6" s="38" t="n">
        <v>500000</v>
      </c>
      <c r="G6" s="38" t="n">
        <v>500000</v>
      </c>
      <c r="H6" s="38" t="n">
        <v>1000000</v>
      </c>
      <c r="I6" s="38" t="n">
        <v>5000000</v>
      </c>
      <c r="J6" s="39" t="inlineStr">
        <is>
          <t>6/6</t>
        </is>
      </c>
    </row>
    <row r="7">
      <c r="A7" s="30" t="inlineStr">
        <is>
          <t>Axis Bank</t>
        </is>
      </c>
      <c r="B7" s="31" t="inlineStr">
        <is>
          <t>Magnus</t>
        </is>
      </c>
      <c r="C7" s="40" t="n">
        <v>12500</v>
      </c>
      <c r="D7" s="38" t="n">
        <v>10000000</v>
      </c>
      <c r="E7" s="38" t="n">
        <v>25000000</v>
      </c>
      <c r="F7" s="38" t="n">
        <v>300000</v>
      </c>
      <c r="G7" s="38" t="n">
        <v>300000</v>
      </c>
      <c r="H7" s="38" t="n">
        <v>500000</v>
      </c>
      <c r="I7" s="38" t="n">
        <v>3000000</v>
      </c>
      <c r="J7" s="39" t="inlineStr">
        <is>
          <t>6/6</t>
        </is>
      </c>
    </row>
    <row r="8">
      <c r="A8" s="25" t="inlineStr">
        <is>
          <t>SBI</t>
        </is>
      </c>
      <c r="B8" s="26" t="inlineStr">
        <is>
          <t>Elite</t>
        </is>
      </c>
      <c r="C8" s="37" t="n">
        <v>4999</v>
      </c>
      <c r="D8" s="38" t="n">
        <v>5000000</v>
      </c>
      <c r="E8" s="38" t="n">
        <v>10000000</v>
      </c>
      <c r="F8" s="38" t="n">
        <v>200000</v>
      </c>
      <c r="G8" s="38" t="n">
        <v>200000</v>
      </c>
      <c r="H8" s="38" t="n">
        <v>300000</v>
      </c>
      <c r="I8" s="38" t="n">
        <v>2000000</v>
      </c>
      <c r="J8" s="39" t="inlineStr">
        <is>
          <t>6/6</t>
        </is>
      </c>
    </row>
  </sheetData>
  <mergeCells count="3">
    <mergeCell ref="A1:J1"/>
    <mergeCell ref="A3:B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J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2" customWidth="1" min="5" max="5"/>
    <col width="24" customWidth="1" min="6" max="6"/>
    <col width="14" customWidth="1" min="7" max="7"/>
    <col width="14" customWidth="1" min="8" max="8"/>
    <col width="17" customWidth="1" min="9" max="9"/>
    <col width="14" customWidth="1" min="10" max="10"/>
  </cols>
  <sheetData>
    <row r="1" ht="35" customHeight="1">
      <c r="A1" s="24" t="inlineStr">
        <is>
          <t>✈️ Airport Lounge Cards</t>
        </is>
      </c>
    </row>
    <row r="2">
      <c r="A2" s="2" t="inlineStr">
        <is>
          <t>Cards with airport lounge facility</t>
        </is>
      </c>
    </row>
    <row r="3"/>
    <row r="4">
      <c r="A4" s="3" t="n">
        <v>3</v>
      </c>
      <c r="B4" s="4" t="n"/>
      <c r="C4" s="4" t="n"/>
      <c r="D4" s="4" t="n"/>
      <c r="E4" s="3" t="inlineStr">
        <is>
          <t>0 / 3</t>
        </is>
      </c>
      <c r="F4" s="4" t="n"/>
      <c r="G4" s="4" t="n"/>
      <c r="H4" s="4" t="n"/>
    </row>
    <row r="5">
      <c r="A5" s="6" t="inlineStr">
        <is>
          <t>Lounge Cards</t>
        </is>
      </c>
      <c r="B5" s="4" t="n"/>
      <c r="C5" s="4" t="n"/>
      <c r="D5" s="4" t="n"/>
      <c r="E5" s="6" t="inlineStr">
        <is>
          <t>Currently Eligible</t>
        </is>
      </c>
      <c r="F5" s="4" t="n"/>
      <c r="G5" s="4" t="n"/>
      <c r="H5" s="4" t="n"/>
    </row>
    <row r="6"/>
    <row r="7">
      <c r="A7" s="7" t="inlineStr">
        <is>
          <t>Bank Name</t>
        </is>
      </c>
      <c r="B7" s="7" t="inlineStr">
        <is>
          <t>Card Name</t>
        </is>
      </c>
      <c r="C7" s="7" t="inlineStr">
        <is>
          <t>Annual Fee</t>
        </is>
      </c>
      <c r="D7" s="7" t="inlineStr">
        <is>
          <t>Anniversary</t>
        </is>
      </c>
      <c r="E7" s="7" t="inlineStr">
        <is>
          <t>Quarterly Threshold</t>
        </is>
      </c>
      <c r="F7" s="7" t="inlineStr">
        <is>
          <t>Current Quarter Spend</t>
        </is>
      </c>
      <c r="G7" s="7" t="inlineStr">
        <is>
          <t>Progress %</t>
        </is>
      </c>
      <c r="H7" s="7" t="inlineStr">
        <is>
          <t>Remaining</t>
        </is>
      </c>
      <c r="I7" s="7" t="inlineStr">
        <is>
          <t>Status</t>
        </is>
      </c>
      <c r="J7" s="7" t="inlineStr">
        <is>
          <t>Insurance</t>
        </is>
      </c>
    </row>
    <row r="8">
      <c r="A8" s="41" t="inlineStr">
        <is>
          <t>HDFC Bank</t>
        </is>
      </c>
      <c r="B8" s="41" t="inlineStr">
        <is>
          <t>Infinia</t>
        </is>
      </c>
      <c r="C8" s="42" t="n">
        <v>1250</v>
      </c>
      <c r="D8" s="41" t="inlineStr">
        <is>
          <t>August</t>
        </is>
      </c>
      <c r="E8" s="42" t="n">
        <v>75000</v>
      </c>
      <c r="F8" s="42" t="n">
        <v>0</v>
      </c>
      <c r="G8" s="43" t="n">
        <v>0</v>
      </c>
      <c r="H8" s="42" t="n">
        <v>75000</v>
      </c>
      <c r="I8" s="44" t="inlineStr">
        <is>
          <t>✗ Not Eligible</t>
        </is>
      </c>
      <c r="J8" s="41" t="inlineStr">
        <is>
          <t>🛡️ Included</t>
        </is>
      </c>
    </row>
    <row r="9">
      <c r="A9" s="14" t="inlineStr">
        <is>
          <t>Axis Bank</t>
        </is>
      </c>
      <c r="B9" s="14" t="inlineStr">
        <is>
          <t>Magnus</t>
        </is>
      </c>
      <c r="C9" s="45" t="n">
        <v>12500</v>
      </c>
      <c r="D9" s="14" t="inlineStr">
        <is>
          <t>November</t>
        </is>
      </c>
      <c r="E9" s="45" t="n">
        <v>200000</v>
      </c>
      <c r="F9" s="45" t="n">
        <v>0</v>
      </c>
      <c r="G9" s="16" t="n">
        <v>0</v>
      </c>
      <c r="H9" s="45" t="n">
        <v>200000</v>
      </c>
      <c r="I9" s="46" t="inlineStr">
        <is>
          <t>✗ Not Eligible</t>
        </is>
      </c>
      <c r="J9" s="14" t="inlineStr">
        <is>
          <t>🛡️ Included</t>
        </is>
      </c>
    </row>
    <row r="10">
      <c r="A10" s="41" t="inlineStr">
        <is>
          <t>SBI</t>
        </is>
      </c>
      <c r="B10" s="41" t="inlineStr">
        <is>
          <t>Elite</t>
        </is>
      </c>
      <c r="C10" s="42" t="n">
        <v>4999</v>
      </c>
      <c r="D10" s="41" t="inlineStr">
        <is>
          <t>June</t>
        </is>
      </c>
      <c r="E10" s="42" t="n">
        <v>100000</v>
      </c>
      <c r="F10" s="42" t="n">
        <v>0</v>
      </c>
      <c r="G10" s="43" t="n">
        <v>0</v>
      </c>
      <c r="H10" s="42" t="n">
        <v>100000</v>
      </c>
      <c r="I10" s="44" t="inlineStr">
        <is>
          <t>✗ Not Eligible</t>
        </is>
      </c>
      <c r="J10" s="41" t="inlineStr">
        <is>
          <t>🛡️ Included</t>
        </is>
      </c>
    </row>
  </sheetData>
  <mergeCells count="6">
    <mergeCell ref="A5:D5"/>
    <mergeCell ref="A1:J1"/>
    <mergeCell ref="A4:D4"/>
    <mergeCell ref="E4:H4"/>
    <mergeCell ref="A2:J2"/>
    <mergeCell ref="E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6" customWidth="1" min="4" max="4"/>
    <col width="18" customWidth="1" min="5" max="5"/>
    <col width="16" customWidth="1" min="6" max="6"/>
  </cols>
  <sheetData>
    <row r="1" ht="35" customHeight="1">
      <c r="A1" s="24" t="inlineStr">
        <is>
          <t>📝 Card Details &amp; Notes</t>
        </is>
      </c>
    </row>
    <row r="2"/>
    <row r="3" ht="30" customHeight="1">
      <c r="A3" s="47" t="inlineStr">
        <is>
          <t>HDFC Bank — Infinia</t>
        </is>
      </c>
      <c r="B3" s="48" t="n"/>
      <c r="C3" s="48" t="n"/>
      <c r="D3" s="48" t="n"/>
      <c r="E3" s="48" t="n"/>
      <c r="F3" s="48" t="n"/>
    </row>
    <row r="4">
      <c r="A4" s="49" t="inlineStr">
        <is>
          <t>Annual Fee</t>
        </is>
      </c>
      <c r="B4" s="50" t="n">
        <v>1250</v>
      </c>
      <c r="C4" s="49" t="inlineStr">
        <is>
          <t>Anniversary Month</t>
        </is>
      </c>
      <c r="D4" s="30" t="inlineStr">
        <is>
          <t>August</t>
        </is>
      </c>
      <c r="E4" s="49" t="inlineStr">
        <is>
          <t>Spend Threshold</t>
        </is>
      </c>
      <c r="F4" s="50" t="n">
        <v>1000000</v>
      </c>
    </row>
    <row r="5">
      <c r="A5" s="49" t="inlineStr">
        <is>
          <t>Spend Till Now</t>
        </is>
      </c>
      <c r="B5" s="50" t="n">
        <v>645000</v>
      </c>
      <c r="C5" s="49" t="inlineStr">
        <is>
          <t>Remaining</t>
        </is>
      </c>
      <c r="D5" s="50" t="n">
        <v>355000</v>
      </c>
      <c r="E5" s="49" t="inlineStr">
        <is>
          <t>Progress</t>
        </is>
      </c>
      <c r="F5" s="30" t="inlineStr">
        <is>
          <t>64%</t>
        </is>
      </c>
    </row>
    <row r="6">
      <c r="A6" s="49" t="inlineStr">
        <is>
          <t>Status</t>
        </is>
      </c>
      <c r="B6" s="30" t="inlineStr">
        <is>
          <t>In Progress</t>
        </is>
      </c>
      <c r="C6" s="49" t="inlineStr">
        <is>
          <t>Insurance</t>
        </is>
      </c>
      <c r="D6" s="30" t="inlineStr">
        <is>
          <t>Active</t>
        </is>
      </c>
      <c r="E6" s="49" t="inlineStr">
        <is>
          <t>Lounge</t>
        </is>
      </c>
      <c r="F6" s="30" t="inlineStr">
        <is>
          <t>Available</t>
        </is>
      </c>
    </row>
    <row r="7">
      <c r="A7" s="51" t="inlineStr">
        <is>
          <t>Additional Notes:</t>
        </is>
      </c>
    </row>
    <row r="8">
      <c r="A8" s="52" t="inlineStr">
        <is>
          <t xml:space="preserve">  • Complimentary golf access at select courses</t>
        </is>
      </c>
    </row>
    <row r="9">
      <c r="A9" s="52" t="inlineStr">
        <is>
          <t xml:space="preserve">  • 10X reward points on dining &amp; travel</t>
        </is>
      </c>
    </row>
    <row r="10">
      <c r="A10" s="52" t="inlineStr">
        <is>
          <t xml:space="preserve">  • Concierge service available 24/7</t>
        </is>
      </c>
    </row>
    <row r="11">
      <c r="A11" s="52" t="inlineStr">
        <is>
          <t xml:space="preserve">  • Fuel surcharge waiver up to ₹500/month</t>
        </is>
      </c>
    </row>
    <row r="12"/>
    <row r="13" ht="30" customHeight="1">
      <c r="A13" s="47" t="inlineStr">
        <is>
          <t>ICICI Bank — Amazon Pay</t>
        </is>
      </c>
      <c r="B13" s="48" t="n"/>
      <c r="C13" s="48" t="n"/>
      <c r="D13" s="48" t="n"/>
      <c r="E13" s="48" t="n"/>
      <c r="F13" s="48" t="n"/>
    </row>
    <row r="14">
      <c r="A14" s="49" t="inlineStr">
        <is>
          <t>Annual Fee</t>
        </is>
      </c>
      <c r="B14" s="50" t="n">
        <v>500</v>
      </c>
      <c r="C14" s="49" t="inlineStr">
        <is>
          <t>Anniversary Month</t>
        </is>
      </c>
      <c r="D14" s="30" t="inlineStr">
        <is>
          <t>March</t>
        </is>
      </c>
      <c r="E14" s="49" t="inlineStr">
        <is>
          <t>Spend Threshold</t>
        </is>
      </c>
      <c r="F14" s="50" t="n">
        <v>200000</v>
      </c>
    </row>
    <row r="15">
      <c r="A15" s="49" t="inlineStr">
        <is>
          <t>Spend Till Now</t>
        </is>
      </c>
      <c r="B15" s="50" t="n">
        <v>187500</v>
      </c>
      <c r="C15" s="49" t="inlineStr">
        <is>
          <t>Remaining</t>
        </is>
      </c>
      <c r="D15" s="50" t="n">
        <v>12500</v>
      </c>
      <c r="E15" s="49" t="inlineStr">
        <is>
          <t>Progress</t>
        </is>
      </c>
      <c r="F15" s="30" t="inlineStr">
        <is>
          <t>94%</t>
        </is>
      </c>
    </row>
    <row r="16">
      <c r="A16" s="49" t="inlineStr">
        <is>
          <t>Status</t>
        </is>
      </c>
      <c r="B16" s="30" t="inlineStr">
        <is>
          <t>In Progress</t>
        </is>
      </c>
      <c r="C16" s="49" t="inlineStr">
        <is>
          <t>Insurance</t>
        </is>
      </c>
      <c r="D16" s="30" t="inlineStr">
        <is>
          <t>Not Available</t>
        </is>
      </c>
      <c r="E16" s="49" t="inlineStr">
        <is>
          <t>Lounge</t>
        </is>
      </c>
      <c r="F16" s="30" t="inlineStr">
        <is>
          <t>Not Available</t>
        </is>
      </c>
    </row>
    <row r="17">
      <c r="A17" s="51" t="inlineStr">
        <is>
          <t>Additional Notes:</t>
        </is>
      </c>
    </row>
    <row r="18">
      <c r="A18" s="52" t="inlineStr">
        <is>
          <t xml:space="preserve">  • 5% cashback on Amazon purchases</t>
        </is>
      </c>
    </row>
    <row r="19">
      <c r="A19" s="52" t="inlineStr">
        <is>
          <t xml:space="preserve">  • No forex markup on international transactions</t>
        </is>
      </c>
    </row>
    <row r="20">
      <c r="A20" s="52" t="inlineStr">
        <is>
          <t xml:space="preserve">  • 1% fuel surcharge waiver</t>
        </is>
      </c>
    </row>
    <row r="21"/>
    <row r="22" ht="30" customHeight="1">
      <c r="A22" s="47" t="inlineStr">
        <is>
          <t>Axis Bank — Magnus</t>
        </is>
      </c>
      <c r="B22" s="48" t="n"/>
      <c r="C22" s="48" t="n"/>
      <c r="D22" s="48" t="n"/>
      <c r="E22" s="48" t="n"/>
      <c r="F22" s="48" t="n"/>
    </row>
    <row r="23">
      <c r="A23" s="49" t="inlineStr">
        <is>
          <t>Annual Fee</t>
        </is>
      </c>
      <c r="B23" s="50" t="n">
        <v>12500</v>
      </c>
      <c r="C23" s="49" t="inlineStr">
        <is>
          <t>Anniversary Month</t>
        </is>
      </c>
      <c r="D23" s="30" t="inlineStr">
        <is>
          <t>November</t>
        </is>
      </c>
      <c r="E23" s="49" t="inlineStr">
        <is>
          <t>Spend Threshold</t>
        </is>
      </c>
      <c r="F23" s="50" t="n">
        <v>2500000</v>
      </c>
    </row>
    <row r="24">
      <c r="A24" s="49" t="inlineStr">
        <is>
          <t>Spend Till Now</t>
        </is>
      </c>
      <c r="B24" s="50" t="n">
        <v>1820000</v>
      </c>
      <c r="C24" s="49" t="inlineStr">
        <is>
          <t>Remaining</t>
        </is>
      </c>
      <c r="D24" s="50" t="n">
        <v>680000</v>
      </c>
      <c r="E24" s="49" t="inlineStr">
        <is>
          <t>Progress</t>
        </is>
      </c>
      <c r="F24" s="30" t="inlineStr">
        <is>
          <t>73%</t>
        </is>
      </c>
    </row>
    <row r="25">
      <c r="A25" s="49" t="inlineStr">
        <is>
          <t>Status</t>
        </is>
      </c>
      <c r="B25" s="30" t="inlineStr">
        <is>
          <t>In Progress</t>
        </is>
      </c>
      <c r="C25" s="49" t="inlineStr">
        <is>
          <t>Insurance</t>
        </is>
      </c>
      <c r="D25" s="30" t="inlineStr">
        <is>
          <t>Active</t>
        </is>
      </c>
      <c r="E25" s="49" t="inlineStr">
        <is>
          <t>Lounge</t>
        </is>
      </c>
      <c r="F25" s="30" t="inlineStr">
        <is>
          <t>Available</t>
        </is>
      </c>
    </row>
    <row r="26">
      <c r="A26" s="51" t="inlineStr">
        <is>
          <t>Additional Notes:</t>
        </is>
      </c>
    </row>
    <row r="27">
      <c r="A27" s="52" t="inlineStr">
        <is>
          <t xml:space="preserve">  • Complimentary Burgundy membership</t>
        </is>
      </c>
    </row>
    <row r="28">
      <c r="A28" s="52" t="inlineStr">
        <is>
          <t xml:space="preserve">  • Meet &amp; greet at airports</t>
        </is>
      </c>
    </row>
    <row r="29">
      <c r="A29" s="52" t="inlineStr">
        <is>
          <t xml:space="preserve">  • 12 complimentary lounge visits per quarter</t>
        </is>
      </c>
    </row>
    <row r="30">
      <c r="A30" s="52" t="inlineStr">
        <is>
          <t xml:space="preserve">  • 2X Edge Rewards on travel &amp; dining</t>
        </is>
      </c>
    </row>
    <row r="31"/>
    <row r="32" ht="30" customHeight="1">
      <c r="A32" s="47" t="inlineStr">
        <is>
          <t>SBI — Elite</t>
        </is>
      </c>
      <c r="B32" s="48" t="n"/>
      <c r="C32" s="48" t="n"/>
      <c r="D32" s="48" t="n"/>
      <c r="E32" s="48" t="n"/>
      <c r="F32" s="48" t="n"/>
    </row>
    <row r="33">
      <c r="A33" s="49" t="inlineStr">
        <is>
          <t>Annual Fee</t>
        </is>
      </c>
      <c r="B33" s="50" t="n">
        <v>4999</v>
      </c>
      <c r="C33" s="49" t="inlineStr">
        <is>
          <t>Anniversary Month</t>
        </is>
      </c>
      <c r="D33" s="30" t="inlineStr">
        <is>
          <t>June</t>
        </is>
      </c>
      <c r="E33" s="49" t="inlineStr">
        <is>
          <t>Spend Threshold</t>
        </is>
      </c>
      <c r="F33" s="50" t="n">
        <v>1000000</v>
      </c>
    </row>
    <row r="34">
      <c r="A34" s="49" t="inlineStr">
        <is>
          <t>Spend Till Now</t>
        </is>
      </c>
      <c r="B34" s="50" t="n">
        <v>1050000</v>
      </c>
      <c r="C34" s="49" t="inlineStr">
        <is>
          <t>Remaining</t>
        </is>
      </c>
      <c r="D34" s="50" t="n">
        <v>0</v>
      </c>
      <c r="E34" s="49" t="inlineStr">
        <is>
          <t>Progress</t>
        </is>
      </c>
      <c r="F34" s="30" t="inlineStr">
        <is>
          <t>100%</t>
        </is>
      </c>
    </row>
    <row r="35">
      <c r="A35" s="49" t="inlineStr">
        <is>
          <t>Status</t>
        </is>
      </c>
      <c r="B35" s="30" t="inlineStr">
        <is>
          <t>✓ Fee Waived</t>
        </is>
      </c>
      <c r="C35" s="49" t="inlineStr">
        <is>
          <t>Insurance</t>
        </is>
      </c>
      <c r="D35" s="30" t="inlineStr">
        <is>
          <t>Active</t>
        </is>
      </c>
      <c r="E35" s="49" t="inlineStr">
        <is>
          <t>Lounge</t>
        </is>
      </c>
      <c r="F35" s="30" t="inlineStr">
        <is>
          <t>Available</t>
        </is>
      </c>
    </row>
    <row r="36">
      <c r="A36" s="51" t="inlineStr">
        <is>
          <t>Additional Notes:</t>
        </is>
      </c>
    </row>
    <row r="37">
      <c r="A37" s="52" t="inlineStr">
        <is>
          <t xml:space="preserve">  • Trident Privilege membership</t>
        </is>
      </c>
    </row>
    <row r="38">
      <c r="A38" s="52" t="inlineStr">
        <is>
          <t xml:space="preserve">  • 2 complimentary domestic lounge visits per quarter</t>
        </is>
      </c>
    </row>
    <row r="39">
      <c r="A39" s="52" t="inlineStr">
        <is>
          <t xml:space="preserve">  • E-vouchers on milestone spend</t>
        </is>
      </c>
    </row>
    <row r="40">
      <c r="A40" s="52" t="inlineStr">
        <is>
          <t xml:space="preserve">  • Fuel surcharge waiver on all fuel stations</t>
        </is>
      </c>
    </row>
  </sheetData>
  <mergeCells count="24">
    <mergeCell ref="A37:F37"/>
    <mergeCell ref="A27:F27"/>
    <mergeCell ref="A18:F18"/>
    <mergeCell ref="A26:F26"/>
    <mergeCell ref="A3:F3"/>
    <mergeCell ref="A32:F32"/>
    <mergeCell ref="A8:F8"/>
    <mergeCell ref="A22:F22"/>
    <mergeCell ref="A17:F17"/>
    <mergeCell ref="A20:F20"/>
    <mergeCell ref="A29:F29"/>
    <mergeCell ref="A38:F38"/>
    <mergeCell ref="A10:F10"/>
    <mergeCell ref="A28:F28"/>
    <mergeCell ref="A13:F13"/>
    <mergeCell ref="A19:F19"/>
    <mergeCell ref="A9:F9"/>
    <mergeCell ref="A40:F40"/>
    <mergeCell ref="A30:F30"/>
    <mergeCell ref="A39:F39"/>
    <mergeCell ref="A11:F11"/>
    <mergeCell ref="A36:F36"/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26" customWidth="1" min="5" max="5"/>
    <col width="19" customWidth="1" min="6" max="6"/>
    <col width="20" customWidth="1" min="7" max="7"/>
    <col width="26" customWidth="1" min="8" max="8"/>
  </cols>
  <sheetData>
    <row r="1" ht="35" customHeight="1">
      <c r="A1" s="24" t="inlineStr">
        <is>
          <t>📋 Spend Tracker — Update Your Spends Here</t>
        </is>
      </c>
    </row>
    <row r="2">
      <c r="A2" s="2" t="inlineStr">
        <is>
          <t>Edit the yellow cells to track your monthly spend and threshold progress</t>
        </is>
      </c>
    </row>
    <row r="3"/>
    <row r="4">
      <c r="A4" s="7" t="inlineStr">
        <is>
          <t>Bank Name</t>
        </is>
      </c>
      <c r="B4" s="7" t="inlineStr">
        <is>
          <t>Card Name</t>
        </is>
      </c>
      <c r="C4" s="7" t="inlineStr">
        <is>
          <t>Annual Fee</t>
        </is>
      </c>
      <c r="D4" s="7" t="inlineStr">
        <is>
          <t>Spend Threshold</t>
        </is>
      </c>
      <c r="E4" s="7" t="inlineStr">
        <is>
          <t>Spend Till Now (edit →)</t>
        </is>
      </c>
      <c r="F4" s="7" t="inlineStr">
        <is>
          <t>Remaining (auto)</t>
        </is>
      </c>
      <c r="G4" s="7" t="inlineStr">
        <is>
          <t>Progress % (auto)</t>
        </is>
      </c>
      <c r="H4" s="7" t="inlineStr">
        <is>
          <t>Status (auto)</t>
        </is>
      </c>
    </row>
    <row r="5">
      <c r="A5" s="30" t="inlineStr">
        <is>
          <t>HDFC Bank</t>
        </is>
      </c>
      <c r="B5" s="31" t="inlineStr">
        <is>
          <t>Infinia</t>
        </is>
      </c>
      <c r="C5" s="53" t="n">
        <v>1250</v>
      </c>
      <c r="D5" s="53" t="n">
        <v>1000000</v>
      </c>
      <c r="E5" s="54" t="n">
        <v>645000</v>
      </c>
      <c r="F5" s="55">
        <f>MAX(D5-E5,0)</f>
        <v/>
      </c>
      <c r="G5" s="56">
        <f>MIN(E5/D5,1)</f>
        <v/>
      </c>
      <c r="H5" s="57">
        <f>IF(E5&gt;=D5,"✓ Fee Waived","⏳ In Progress")</f>
        <v/>
      </c>
    </row>
    <row r="6">
      <c r="A6" s="30" t="inlineStr">
        <is>
          <t>ICICI Bank</t>
        </is>
      </c>
      <c r="B6" s="31" t="inlineStr">
        <is>
          <t>Amazon Pay</t>
        </is>
      </c>
      <c r="C6" s="53" t="n">
        <v>500</v>
      </c>
      <c r="D6" s="53" t="n">
        <v>200000</v>
      </c>
      <c r="E6" s="54" t="n">
        <v>187500</v>
      </c>
      <c r="F6" s="55">
        <f>MAX(D6-E6,0)</f>
        <v/>
      </c>
      <c r="G6" s="56">
        <f>MIN(E6/D6,1)</f>
        <v/>
      </c>
      <c r="H6" s="57">
        <f>IF(E6&gt;=D6,"✓ Fee Waived","⏳ In Progress")</f>
        <v/>
      </c>
    </row>
    <row r="7">
      <c r="A7" s="30" t="inlineStr">
        <is>
          <t>Axis Bank</t>
        </is>
      </c>
      <c r="B7" s="31" t="inlineStr">
        <is>
          <t>Magnus</t>
        </is>
      </c>
      <c r="C7" s="53" t="n">
        <v>12500</v>
      </c>
      <c r="D7" s="53" t="n">
        <v>2500000</v>
      </c>
      <c r="E7" s="54" t="n">
        <v>1820000</v>
      </c>
      <c r="F7" s="55">
        <f>MAX(D7-E7,0)</f>
        <v/>
      </c>
      <c r="G7" s="56">
        <f>MIN(E7/D7,1)</f>
        <v/>
      </c>
      <c r="H7" s="57">
        <f>IF(E7&gt;=D7,"✓ Fee Waived","⏳ In Progress")</f>
        <v/>
      </c>
    </row>
    <row r="8">
      <c r="A8" s="30" t="inlineStr">
        <is>
          <t>SBI</t>
        </is>
      </c>
      <c r="B8" s="31" t="inlineStr">
        <is>
          <t>Elite</t>
        </is>
      </c>
      <c r="C8" s="53" t="n">
        <v>4999</v>
      </c>
      <c r="D8" s="53" t="n">
        <v>1000000</v>
      </c>
      <c r="E8" s="54" t="n">
        <v>1050000</v>
      </c>
      <c r="F8" s="55">
        <f>MAX(D8-E8,0)</f>
        <v/>
      </c>
      <c r="G8" s="56">
        <f>MIN(E8/D8,1)</f>
        <v/>
      </c>
      <c r="H8" s="57">
        <f>IF(E8&gt;=D8,"✓ Fee Waived","⏳ In Progress")</f>
        <v/>
      </c>
    </row>
  </sheetData>
  <mergeCells count="2">
    <mergeCell ref="A2:H2"/>
    <mergeCell ref="A1:H1"/>
  </mergeCells>
  <conditionalFormatting sqref="H5:H8">
    <cfRule type="cellIs" priority="1" operator="equal" dxfId="0">
      <formula>"✓ Fee Waived"</formula>
    </cfRule>
    <cfRule type="cellIs" priority="2" operator="equal" dxfId="1">
      <formula>"⏳ In Progress"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2026-04-22T10:42:18Z</dcterms:created>
  <dcterms:modified xsi:type="dcterms:W3CDTF">2026-04-22T10:42:19Z</dcterms:modified>
</cp:coreProperties>
</file>